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71ECED0-3646-42F4-97CF-B509E9C4BE9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tal Sales by Product" sheetId="4" r:id="rId1"/>
    <sheet name="Sales by Region" sheetId="5" r:id="rId2"/>
    <sheet name="Sales_Data" sheetId="1" r:id="rId3"/>
    <sheet name="Product_Lookup" sheetId="2" r:id="rId4"/>
    <sheet name="Monthly_Sales" sheetId="3" r:id="rId5"/>
  </sheets>
  <calcPr calcId="191029"/>
  <pivotCaches>
    <pivotCache cacheId="5" r:id="rId6"/>
  </pivotCaches>
</workbook>
</file>

<file path=xl/calcChain.xml><?xml version="1.0" encoding="utf-8"?>
<calcChain xmlns="http://schemas.openxmlformats.org/spreadsheetml/2006/main">
  <c r="B7" i="3" l="1"/>
  <c r="J3" i="1"/>
  <c r="J4" i="1"/>
  <c r="J5" i="1"/>
  <c r="J6" i="1"/>
  <c r="J7" i="1"/>
  <c r="J8" i="1"/>
  <c r="J9" i="1"/>
  <c r="J10" i="1"/>
  <c r="J11" i="1"/>
  <c r="J2" i="1"/>
  <c r="F13" i="1"/>
</calcChain>
</file>

<file path=xl/sharedStrings.xml><?xml version="1.0" encoding="utf-8"?>
<sst xmlns="http://schemas.openxmlformats.org/spreadsheetml/2006/main" count="98" uniqueCount="57">
  <si>
    <t>Order_ID</t>
  </si>
  <si>
    <t>Product_ID</t>
  </si>
  <si>
    <t>Product_Name</t>
  </si>
  <si>
    <t>Region</t>
  </si>
  <si>
    <t>Salesperson</t>
  </si>
  <si>
    <t>Units_Sold</t>
  </si>
  <si>
    <t>Unit_Price</t>
  </si>
  <si>
    <t>Total_Sales</t>
  </si>
  <si>
    <t>P101</t>
  </si>
  <si>
    <t>Laptop</t>
  </si>
  <si>
    <t>North</t>
  </si>
  <si>
    <t>Amit</t>
  </si>
  <si>
    <t>P102</t>
  </si>
  <si>
    <t>Mouse</t>
  </si>
  <si>
    <t>South</t>
  </si>
  <si>
    <t>Riya</t>
  </si>
  <si>
    <t>P103</t>
  </si>
  <si>
    <t>Keyboard</t>
  </si>
  <si>
    <t>East</t>
  </si>
  <si>
    <t>Karan</t>
  </si>
  <si>
    <t>West</t>
  </si>
  <si>
    <t>Sneha</t>
  </si>
  <si>
    <t>P104</t>
  </si>
  <si>
    <t>Monitor</t>
  </si>
  <si>
    <t>Rahul</t>
  </si>
  <si>
    <t>Priya</t>
  </si>
  <si>
    <t>P105</t>
  </si>
  <si>
    <t>Printer</t>
  </si>
  <si>
    <t>Arjun</t>
  </si>
  <si>
    <t>Neha</t>
  </si>
  <si>
    <t>Vikram</t>
  </si>
  <si>
    <t>Anita</t>
  </si>
  <si>
    <t>Category</t>
  </si>
  <si>
    <t>Supplier</t>
  </si>
  <si>
    <t>Warranty_Years</t>
  </si>
  <si>
    <t>Electronics</t>
  </si>
  <si>
    <t>Dell</t>
  </si>
  <si>
    <t>Accessories</t>
  </si>
  <si>
    <t>Logitech</t>
  </si>
  <si>
    <t>HP</t>
  </si>
  <si>
    <t>Samsung</t>
  </si>
  <si>
    <t>Canon</t>
  </si>
  <si>
    <t>Metric</t>
  </si>
  <si>
    <t>Jan</t>
  </si>
  <si>
    <t>Feb</t>
  </si>
  <si>
    <t>Mar</t>
  </si>
  <si>
    <t>Apr</t>
  </si>
  <si>
    <t>May</t>
  </si>
  <si>
    <t>Jun</t>
  </si>
  <si>
    <t>Total Sales</t>
  </si>
  <si>
    <t>Average Units Sold</t>
  </si>
  <si>
    <t>category</t>
  </si>
  <si>
    <t>used vlookup</t>
  </si>
  <si>
    <t>hlookup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</si>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</sst>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[data_analyst_excel_practice_dataset.xlsx]Total Sales by Product!PivotTable1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Sales by Product'!$A$4:$A$9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Printer</c:v>
                </c:pt>
              </c:strCache>
            </c:strRef>
          </c:cat>
          <c:val>
            <c:numRef>
              <c:f>'Total Sales by Product'!$B$4:$B$9</c:f>
              <c:numCache>
                <c:formatCode>General</c:formatCode>
                <c:ptCount val="5"/>
                <c:pt idx="0">
                  <c:v>30000</c:v>
                </c:pt>
                <c:pt idx="1">
                  <c:v>400000</c:v>
                </c:pt>
                <c:pt idx="2">
                  <c:v>195000</c:v>
                </c:pt>
                <c:pt idx="3">
                  <c:v>25000</c:v>
                </c:pt>
                <c:pt idx="4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D-46D3-9013-E3DEC4AEA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6267648"/>
        <c:axId val="1686269568"/>
        <c:axId val="0"/>
      </c:bar3DChart>
      <c:catAx>
        <c:axId val="168626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269568"/>
        <c:crosses val="autoZero"/>
        <c:auto val="1"/>
        <c:lblAlgn val="ctr"/>
        <c:lblOffset val="100"/>
        <c:noMultiLvlLbl val="0"/>
      </c:catAx>
      <c:valAx>
        <c:axId val="16862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26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[data_analyst_excel_practice_dataset.xlsx]Sales by Region!PivotTable2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123000</c:v>
                </c:pt>
                <c:pt idx="1">
                  <c:v>379000</c:v>
                </c:pt>
                <c:pt idx="2">
                  <c:v>58000</c:v>
                </c:pt>
                <c:pt idx="3">
                  <c:v>162000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F-4415-BA36-FDCA62220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273408"/>
        <c:axId val="1686268128"/>
      </c:barChart>
      <c:catAx>
        <c:axId val="168627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268128"/>
        <c:crosses val="autoZero"/>
        <c:auto val="1"/>
        <c:lblAlgn val="ctr"/>
        <c:lblOffset val="100"/>
        <c:noMultiLvlLbl val="0"/>
      </c:catAx>
      <c:valAx>
        <c:axId val="168626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2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Sales_Data!$F$1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Sales_Data!$C$2:$E$11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</c:multiLvlStrCache>
            </c:multiLvlStrRef>
          </c:cat>
          <c:val>
            <c:numRef>
              <c:f>Sales_Data!$F$2:$F$11</c:f>
              <c:numCache>
                <c:formatCode>General</c:formatCode>
                <c:ptCount val="10"/>
                <c:pt idx="0">
                  <c:v>5</c:v>
                </c:pt>
                <c:pt idx="1">
                  <c:v>20</c:v>
                </c:pt>
                <c:pt idx="2">
                  <c:v>15</c:v>
                </c:pt>
                <c:pt idx="3">
                  <c:v>3</c:v>
                </c:pt>
                <c:pt idx="4">
                  <c:v>7</c:v>
                </c:pt>
                <c:pt idx="5">
                  <c:v>30</c:v>
                </c:pt>
                <c:pt idx="6">
                  <c:v>4</c:v>
                </c:pt>
                <c:pt idx="7">
                  <c:v>10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1-49F4-9891-1271FDCCA96D}"/>
            </c:ext>
          </c:extLst>
        </c:ser>
        <c:ser>
          <c:idx val="1"/>
          <c:order val="1"/>
          <c:tx>
            <c:strRef>
              <c:f>Sales_Data!$G$1</c:f>
              <c:strCache>
                <c:ptCount val="1"/>
                <c:pt idx="0">
                  <c:v>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Sales_Data!$C$2:$E$11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</c:multiLvlStrCache>
            </c:multiLvlStrRef>
          </c:cat>
          <c:val>
            <c:numRef>
              <c:f>Sales_Data!$G$2:$G$11</c:f>
              <c:numCache>
                <c:formatCode>General</c:formatCode>
                <c:ptCount val="10"/>
                <c:pt idx="0">
                  <c:v>50000</c:v>
                </c:pt>
                <c:pt idx="1">
                  <c:v>500</c:v>
                </c:pt>
                <c:pt idx="2">
                  <c:v>1200</c:v>
                </c:pt>
                <c:pt idx="3">
                  <c:v>50000</c:v>
                </c:pt>
                <c:pt idx="4">
                  <c:v>15000</c:v>
                </c:pt>
                <c:pt idx="5">
                  <c:v>500</c:v>
                </c:pt>
                <c:pt idx="6">
                  <c:v>12000</c:v>
                </c:pt>
                <c:pt idx="7">
                  <c:v>1200</c:v>
                </c:pt>
                <c:pt idx="8">
                  <c:v>15000</c:v>
                </c:pt>
                <c:pt idx="9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1-49F4-9891-1271FDCCA96D}"/>
            </c:ext>
          </c:extLst>
        </c:ser>
        <c:ser>
          <c:idx val="2"/>
          <c:order val="2"/>
          <c:tx>
            <c:strRef>
              <c:f>Sales_Data!$H$1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Sales_Data!$C$2:$E$11</c:f>
              <c:multiLvlStrCache>
                <c:ptCount val="10"/>
                <c:lvl>
                  <c:pt idx="0">
                    <c:v>Amit</c:v>
                  </c:pt>
                  <c:pt idx="1">
                    <c:v>Riya</c:v>
                  </c:pt>
                  <c:pt idx="2">
                    <c:v>Karan</c:v>
                  </c:pt>
                  <c:pt idx="3">
                    <c:v>Sneha</c:v>
                  </c:pt>
                  <c:pt idx="4">
                    <c:v>Rahul</c:v>
                  </c:pt>
                  <c:pt idx="5">
                    <c:v>Priya</c:v>
                  </c:pt>
                  <c:pt idx="6">
                    <c:v>Arjun</c:v>
                  </c:pt>
                  <c:pt idx="7">
                    <c:v>Neha</c:v>
                  </c:pt>
                  <c:pt idx="8">
                    <c:v>Vikram</c:v>
                  </c:pt>
                  <c:pt idx="9">
                    <c:v>Anita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</c:lvl>
                <c:lvl>
                  <c:pt idx="0">
                    <c:v>Laptop</c:v>
                  </c:pt>
                  <c:pt idx="1">
                    <c:v>Mouse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  <c:pt idx="6">
                    <c:v>Printer</c:v>
                  </c:pt>
                  <c:pt idx="7">
                    <c:v>Keyboard</c:v>
                  </c:pt>
                  <c:pt idx="8">
                    <c:v>Monitor</c:v>
                  </c:pt>
                  <c:pt idx="9">
                    <c:v>Printer</c:v>
                  </c:pt>
                </c:lvl>
              </c:multiLvlStrCache>
            </c:multiLvlStrRef>
          </c:cat>
          <c:val>
            <c:numRef>
              <c:f>Sales_Data!$H$2:$H$11</c:f>
              <c:numCache>
                <c:formatCode>General</c:formatCode>
                <c:ptCount val="10"/>
                <c:pt idx="0">
                  <c:v>250000</c:v>
                </c:pt>
                <c:pt idx="1">
                  <c:v>10000</c:v>
                </c:pt>
                <c:pt idx="2">
                  <c:v>18000</c:v>
                </c:pt>
                <c:pt idx="3">
                  <c:v>150000</c:v>
                </c:pt>
                <c:pt idx="4">
                  <c:v>105000</c:v>
                </c:pt>
                <c:pt idx="5">
                  <c:v>15000</c:v>
                </c:pt>
                <c:pt idx="6">
                  <c:v>48000</c:v>
                </c:pt>
                <c:pt idx="7">
                  <c:v>12000</c:v>
                </c:pt>
                <c:pt idx="8">
                  <c:v>90000</c:v>
                </c:pt>
                <c:pt idx="9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71-49F4-9891-1271FDCC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361344"/>
        <c:axId val="231362784"/>
      </c:barChart>
      <c:catAx>
        <c:axId val="23136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62784"/>
        <c:crosses val="autoZero"/>
        <c:auto val="1"/>
        <c:lblAlgn val="ctr"/>
        <c:lblOffset val="100"/>
        <c:noMultiLvlLbl val="0"/>
      </c:catAx>
      <c:valAx>
        <c:axId val="23136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1</xdr:row>
      <xdr:rowOff>160020</xdr:rowOff>
    </xdr:from>
    <xdr:to>
      <xdr:col>12</xdr:col>
      <xdr:colOff>144780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0E95C-1350-974D-3665-8EEB921DD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2</xdr:row>
      <xdr:rowOff>11430</xdr:rowOff>
    </xdr:from>
    <xdr:to>
      <xdr:col>11</xdr:col>
      <xdr:colOff>190500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C22A9-614B-C3D9-3C2F-1F687EF07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1</xdr:row>
      <xdr:rowOff>53340</xdr:rowOff>
    </xdr:from>
    <xdr:to>
      <xdr:col>20</xdr:col>
      <xdr:colOff>220980</xdr:colOff>
      <xdr:row>25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1413EA-EDC7-A889-5328-193F2D60C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6.626591319444" createdVersion="8" refreshedVersion="8" minRefreshableVersion="3" recordCount="10" xr:uid="{D8D5A342-5A66-4817-A88B-1F8EF25D6E50}">
  <cacheSource type="worksheet">
    <worksheetSource ref="A1:H11" sheet="Sales_Data"/>
  </cacheSource>
  <cacheFields count="8">
    <cacheField name="Order_ID" numFmtId="0">
      <sharedItems containsSemiMixedTypes="0" containsString="0" containsNumber="1" containsInteger="1" minValue="1001" maxValue="1010"/>
    </cacheField>
    <cacheField name="Product_ID" numFmtId="0">
      <sharedItems/>
    </cacheField>
    <cacheField name="Product_Name" numFmtId="0">
      <sharedItems count="5">
        <s v="Laptop"/>
        <s v="Mouse"/>
        <s v="Keyboard"/>
        <s v="Monitor"/>
        <s v="Printer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Units_Sold" numFmtId="0">
      <sharedItems containsSemiMixedTypes="0" containsString="0" containsNumber="1" containsInteger="1" minValue="2" maxValue="30"/>
    </cacheField>
    <cacheField name="Unit_Price" numFmtId="0">
      <sharedItems containsSemiMixedTypes="0" containsString="0" containsNumber="1" containsInteger="1" minValue="500" maxValue="50000"/>
    </cacheField>
    <cacheField name="Total_Sales" numFmtId="0">
      <sharedItems containsSemiMixedTypes="0" containsString="0" containsNumber="1" containsInteger="1" minValue="10000" maxValue="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P101"/>
    <x v="0"/>
    <x v="0"/>
    <s v="Amit"/>
    <n v="5"/>
    <n v="50000"/>
    <n v="250000"/>
  </r>
  <r>
    <n v="1002"/>
    <s v="P102"/>
    <x v="1"/>
    <x v="1"/>
    <s v="Riya"/>
    <n v="20"/>
    <n v="500"/>
    <n v="10000"/>
  </r>
  <r>
    <n v="1003"/>
    <s v="P103"/>
    <x v="2"/>
    <x v="2"/>
    <s v="Karan"/>
    <n v="15"/>
    <n v="1200"/>
    <n v="18000"/>
  </r>
  <r>
    <n v="1004"/>
    <s v="P101"/>
    <x v="0"/>
    <x v="3"/>
    <s v="Sneha"/>
    <n v="3"/>
    <n v="50000"/>
    <n v="150000"/>
  </r>
  <r>
    <n v="1005"/>
    <s v="P104"/>
    <x v="3"/>
    <x v="0"/>
    <s v="Rahul"/>
    <n v="7"/>
    <n v="15000"/>
    <n v="105000"/>
  </r>
  <r>
    <n v="1006"/>
    <s v="P102"/>
    <x v="1"/>
    <x v="2"/>
    <s v="Priya"/>
    <n v="30"/>
    <n v="500"/>
    <n v="15000"/>
  </r>
  <r>
    <n v="1007"/>
    <s v="P105"/>
    <x v="4"/>
    <x v="1"/>
    <s v="Arjun"/>
    <n v="4"/>
    <n v="12000"/>
    <n v="48000"/>
  </r>
  <r>
    <n v="1008"/>
    <s v="P103"/>
    <x v="2"/>
    <x v="3"/>
    <s v="Neha"/>
    <n v="10"/>
    <n v="1200"/>
    <n v="12000"/>
  </r>
  <r>
    <n v="1009"/>
    <s v="P104"/>
    <x v="3"/>
    <x v="2"/>
    <s v="Vikram"/>
    <n v="6"/>
    <n v="15000"/>
    <n v="90000"/>
  </r>
  <r>
    <n v="1010"/>
    <s v="P105"/>
    <x v="4"/>
    <x v="0"/>
    <s v="Anita"/>
    <n v="2"/>
    <n v="12000"/>
    <n v="2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21B64-9E23-48B8-AC52-4CEC2B3A2E9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8"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832BB-A2A7-4CF6-8344-AD027BE93A6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8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67CD-65C0-4B05-89BC-EC4AC6A12257}">
  <dimension ref="A3:B9"/>
  <sheetViews>
    <sheetView workbookViewId="0">
      <selection activeCell="Q6" sqref="Q6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1" t="s">
        <v>54</v>
      </c>
      <c r="B3" t="s">
        <v>56</v>
      </c>
    </row>
    <row r="4" spans="1:2" x14ac:dyDescent="0.3">
      <c r="A4" s="2" t="s">
        <v>17</v>
      </c>
      <c r="B4" s="3">
        <v>30000</v>
      </c>
    </row>
    <row r="5" spans="1:2" x14ac:dyDescent="0.3">
      <c r="A5" s="2" t="s">
        <v>9</v>
      </c>
      <c r="B5" s="3">
        <v>400000</v>
      </c>
    </row>
    <row r="6" spans="1:2" x14ac:dyDescent="0.3">
      <c r="A6" s="2" t="s">
        <v>23</v>
      </c>
      <c r="B6" s="3">
        <v>195000</v>
      </c>
    </row>
    <row r="7" spans="1:2" x14ac:dyDescent="0.3">
      <c r="A7" s="2" t="s">
        <v>13</v>
      </c>
      <c r="B7" s="3">
        <v>25000</v>
      </c>
    </row>
    <row r="8" spans="1:2" x14ac:dyDescent="0.3">
      <c r="A8" s="2" t="s">
        <v>27</v>
      </c>
      <c r="B8" s="3">
        <v>72000</v>
      </c>
    </row>
    <row r="9" spans="1:2" x14ac:dyDescent="0.3">
      <c r="A9" s="2" t="s">
        <v>55</v>
      </c>
      <c r="B9" s="3">
        <v>722000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5D7D-B058-4B12-8363-FF75E82EACDF}">
  <dimension ref="A3:B8"/>
  <sheetViews>
    <sheetView workbookViewId="0">
      <selection activeCell="D25" sqref="D25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18.109375" bestFit="1" customWidth="1"/>
  </cols>
  <sheetData>
    <row r="3" spans="1:2" x14ac:dyDescent="0.3">
      <c r="A3" s="1" t="s">
        <v>54</v>
      </c>
      <c r="B3" t="s">
        <v>56</v>
      </c>
    </row>
    <row r="4" spans="1:2" x14ac:dyDescent="0.3">
      <c r="A4" s="2" t="s">
        <v>18</v>
      </c>
      <c r="B4" s="3">
        <v>123000</v>
      </c>
    </row>
    <row r="5" spans="1:2" x14ac:dyDescent="0.3">
      <c r="A5" s="2" t="s">
        <v>10</v>
      </c>
      <c r="B5" s="3">
        <v>379000</v>
      </c>
    </row>
    <row r="6" spans="1:2" x14ac:dyDescent="0.3">
      <c r="A6" s="2" t="s">
        <v>14</v>
      </c>
      <c r="B6" s="3">
        <v>58000</v>
      </c>
    </row>
    <row r="7" spans="1:2" x14ac:dyDescent="0.3">
      <c r="A7" s="2" t="s">
        <v>20</v>
      </c>
      <c r="B7" s="3">
        <v>162000</v>
      </c>
    </row>
    <row r="8" spans="1:2" x14ac:dyDescent="0.3">
      <c r="A8" s="2" t="s">
        <v>55</v>
      </c>
      <c r="B8" s="3">
        <v>722000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M29" sqref="M29"/>
    </sheetView>
  </sheetViews>
  <sheetFormatPr defaultRowHeight="14.4" x14ac:dyDescent="0.3"/>
  <cols>
    <col min="1" max="1" width="8.44140625" bestFit="1" customWidth="1"/>
    <col min="2" max="2" width="10.109375" bestFit="1" customWidth="1"/>
    <col min="3" max="3" width="13.33203125" bestFit="1" customWidth="1"/>
    <col min="4" max="4" width="6.5546875" bestFit="1" customWidth="1"/>
    <col min="5" max="5" width="10.6640625" bestFit="1" customWidth="1"/>
    <col min="6" max="6" width="9.6640625" bestFit="1" customWidth="1"/>
    <col min="7" max="7" width="16.21875" bestFit="1" customWidth="1"/>
    <col min="8" max="8" width="10.33203125" bestFit="1" customWidth="1"/>
    <col min="9" max="9" width="9.77734375" bestFit="1" customWidth="1"/>
    <col min="10" max="10" width="10.77734375" customWidth="1"/>
    <col min="11" max="11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51</v>
      </c>
    </row>
    <row r="2" spans="1:11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>
        <v>50000</v>
      </c>
      <c r="H2">
        <v>250000</v>
      </c>
      <c r="J2" t="str">
        <f>VLOOKUP(B2,Product_Lookup!A:D,2,FALSE)</f>
        <v>Electronics</v>
      </c>
      <c r="K2" t="s">
        <v>52</v>
      </c>
    </row>
    <row r="3" spans="1:11" x14ac:dyDescent="0.3">
      <c r="A3">
        <v>1002</v>
      </c>
      <c r="B3" t="s">
        <v>12</v>
      </c>
      <c r="C3" t="s">
        <v>13</v>
      </c>
      <c r="D3" t="s">
        <v>14</v>
      </c>
      <c r="E3" t="s">
        <v>15</v>
      </c>
      <c r="F3">
        <v>20</v>
      </c>
      <c r="G3">
        <v>500</v>
      </c>
      <c r="H3">
        <v>10000</v>
      </c>
      <c r="J3" t="str">
        <f>VLOOKUP(B3,Product_Lookup!A:D,2,FALSE)</f>
        <v>Accessories</v>
      </c>
    </row>
    <row r="4" spans="1:11" x14ac:dyDescent="0.3">
      <c r="A4">
        <v>1003</v>
      </c>
      <c r="B4" t="s">
        <v>16</v>
      </c>
      <c r="C4" t="s">
        <v>17</v>
      </c>
      <c r="D4" t="s">
        <v>18</v>
      </c>
      <c r="E4" t="s">
        <v>19</v>
      </c>
      <c r="F4">
        <v>15</v>
      </c>
      <c r="G4">
        <v>1200</v>
      </c>
      <c r="H4">
        <v>18000</v>
      </c>
      <c r="J4" t="str">
        <f>VLOOKUP(B4,Product_Lookup!A:D,2,FALSE)</f>
        <v>Accessories</v>
      </c>
    </row>
    <row r="5" spans="1:11" x14ac:dyDescent="0.3">
      <c r="A5">
        <v>1004</v>
      </c>
      <c r="B5" t="s">
        <v>8</v>
      </c>
      <c r="C5" t="s">
        <v>9</v>
      </c>
      <c r="D5" t="s">
        <v>20</v>
      </c>
      <c r="E5" t="s">
        <v>21</v>
      </c>
      <c r="F5">
        <v>3</v>
      </c>
      <c r="G5">
        <v>50000</v>
      </c>
      <c r="H5">
        <v>150000</v>
      </c>
      <c r="J5" t="str">
        <f>VLOOKUP(B5,Product_Lookup!A:D,2,FALSE)</f>
        <v>Electronics</v>
      </c>
    </row>
    <row r="6" spans="1:11" x14ac:dyDescent="0.3">
      <c r="A6">
        <v>1005</v>
      </c>
      <c r="B6" t="s">
        <v>22</v>
      </c>
      <c r="C6" t="s">
        <v>23</v>
      </c>
      <c r="D6" t="s">
        <v>10</v>
      </c>
      <c r="E6" t="s">
        <v>24</v>
      </c>
      <c r="F6">
        <v>7</v>
      </c>
      <c r="G6">
        <v>15000</v>
      </c>
      <c r="H6">
        <v>105000</v>
      </c>
      <c r="J6" t="str">
        <f>VLOOKUP(B6,Product_Lookup!A:D,2,FALSE)</f>
        <v>Electronics</v>
      </c>
    </row>
    <row r="7" spans="1:11" x14ac:dyDescent="0.3">
      <c r="A7">
        <v>1006</v>
      </c>
      <c r="B7" t="s">
        <v>12</v>
      </c>
      <c r="C7" t="s">
        <v>13</v>
      </c>
      <c r="D7" t="s">
        <v>18</v>
      </c>
      <c r="E7" t="s">
        <v>25</v>
      </c>
      <c r="F7">
        <v>30</v>
      </c>
      <c r="G7">
        <v>500</v>
      </c>
      <c r="H7">
        <v>15000</v>
      </c>
      <c r="J7" t="str">
        <f>VLOOKUP(B7,Product_Lookup!A:D,2,FALSE)</f>
        <v>Accessories</v>
      </c>
    </row>
    <row r="8" spans="1:11" x14ac:dyDescent="0.3">
      <c r="A8">
        <v>1007</v>
      </c>
      <c r="B8" t="s">
        <v>26</v>
      </c>
      <c r="C8" t="s">
        <v>27</v>
      </c>
      <c r="D8" t="s">
        <v>14</v>
      </c>
      <c r="E8" t="s">
        <v>28</v>
      </c>
      <c r="F8">
        <v>4</v>
      </c>
      <c r="G8">
        <v>12000</v>
      </c>
      <c r="H8">
        <v>48000</v>
      </c>
      <c r="J8" t="str">
        <f>VLOOKUP(B8,Product_Lookup!A:D,2,FALSE)</f>
        <v>Electronics</v>
      </c>
    </row>
    <row r="9" spans="1:11" x14ac:dyDescent="0.3">
      <c r="A9">
        <v>1008</v>
      </c>
      <c r="B9" t="s">
        <v>16</v>
      </c>
      <c r="C9" t="s">
        <v>17</v>
      </c>
      <c r="D9" t="s">
        <v>20</v>
      </c>
      <c r="E9" t="s">
        <v>29</v>
      </c>
      <c r="F9">
        <v>10</v>
      </c>
      <c r="G9">
        <v>1200</v>
      </c>
      <c r="H9">
        <v>12000</v>
      </c>
      <c r="J9" t="str">
        <f>VLOOKUP(B9,Product_Lookup!A:D,2,FALSE)</f>
        <v>Accessories</v>
      </c>
    </row>
    <row r="10" spans="1:11" x14ac:dyDescent="0.3">
      <c r="A10">
        <v>1009</v>
      </c>
      <c r="B10" t="s">
        <v>22</v>
      </c>
      <c r="C10" t="s">
        <v>23</v>
      </c>
      <c r="D10" t="s">
        <v>18</v>
      </c>
      <c r="E10" t="s">
        <v>30</v>
      </c>
      <c r="F10">
        <v>6</v>
      </c>
      <c r="G10">
        <v>15000</v>
      </c>
      <c r="H10">
        <v>90000</v>
      </c>
      <c r="J10" t="str">
        <f>VLOOKUP(B10,Product_Lookup!A:D,2,FALSE)</f>
        <v>Electronics</v>
      </c>
    </row>
    <row r="11" spans="1:11" x14ac:dyDescent="0.3">
      <c r="A11">
        <v>1010</v>
      </c>
      <c r="B11" t="s">
        <v>26</v>
      </c>
      <c r="C11" t="s">
        <v>27</v>
      </c>
      <c r="D11" t="s">
        <v>10</v>
      </c>
      <c r="E11" t="s">
        <v>31</v>
      </c>
      <c r="F11">
        <v>2</v>
      </c>
      <c r="G11">
        <v>12000</v>
      </c>
      <c r="H11">
        <v>24000</v>
      </c>
      <c r="J11" t="str">
        <f>VLOOKUP(B11,Product_Lookup!A:D,2,FALSE)</f>
        <v>Electronics</v>
      </c>
    </row>
    <row r="12" spans="1:11" x14ac:dyDescent="0.3">
      <c r="I12" t="s">
        <v>49</v>
      </c>
    </row>
    <row r="13" spans="1:11" x14ac:dyDescent="0.3">
      <c r="F13">
        <f>AVERAGE(F2:F11)</f>
        <v>10.199999999999999</v>
      </c>
      <c r="G13" t="s">
        <v>50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32</v>
      </c>
      <c r="C1" t="s">
        <v>33</v>
      </c>
      <c r="D1" t="s">
        <v>34</v>
      </c>
    </row>
    <row r="2" spans="1:4" x14ac:dyDescent="0.3">
      <c r="A2" t="s">
        <v>8</v>
      </c>
      <c r="B2" t="s">
        <v>35</v>
      </c>
      <c r="C2" t="s">
        <v>36</v>
      </c>
      <c r="D2">
        <v>2</v>
      </c>
    </row>
    <row r="3" spans="1:4" x14ac:dyDescent="0.3">
      <c r="A3" t="s">
        <v>12</v>
      </c>
      <c r="B3" t="s">
        <v>37</v>
      </c>
      <c r="C3" t="s">
        <v>38</v>
      </c>
      <c r="D3">
        <v>1</v>
      </c>
    </row>
    <row r="4" spans="1:4" x14ac:dyDescent="0.3">
      <c r="A4" t="s">
        <v>16</v>
      </c>
      <c r="B4" t="s">
        <v>37</v>
      </c>
      <c r="C4" t="s">
        <v>39</v>
      </c>
      <c r="D4">
        <v>1</v>
      </c>
    </row>
    <row r="5" spans="1:4" x14ac:dyDescent="0.3">
      <c r="A5" t="s">
        <v>22</v>
      </c>
      <c r="B5" t="s">
        <v>35</v>
      </c>
      <c r="C5" t="s">
        <v>40</v>
      </c>
      <c r="D5">
        <v>3</v>
      </c>
    </row>
    <row r="6" spans="1:4" x14ac:dyDescent="0.3">
      <c r="A6" t="s">
        <v>26</v>
      </c>
      <c r="B6" t="s">
        <v>35</v>
      </c>
      <c r="C6" t="s">
        <v>41</v>
      </c>
      <c r="D6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C7" sqref="C7"/>
    </sheetView>
  </sheetViews>
  <sheetFormatPr defaultRowHeight="14.4" x14ac:dyDescent="0.3"/>
  <sheetData>
    <row r="1" spans="1:7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">
      <c r="A2" t="s">
        <v>9</v>
      </c>
      <c r="B2">
        <v>200000</v>
      </c>
      <c r="C2">
        <v>180000</v>
      </c>
      <c r="D2">
        <v>220000</v>
      </c>
      <c r="E2">
        <v>210000</v>
      </c>
      <c r="F2">
        <v>230000</v>
      </c>
      <c r="G2">
        <v>240000</v>
      </c>
    </row>
    <row r="3" spans="1:7" x14ac:dyDescent="0.3">
      <c r="A3" t="s">
        <v>13</v>
      </c>
      <c r="B3">
        <v>8000</v>
      </c>
      <c r="C3">
        <v>9500</v>
      </c>
      <c r="D3">
        <v>9000</v>
      </c>
      <c r="E3">
        <v>8700</v>
      </c>
      <c r="F3">
        <v>9200</v>
      </c>
      <c r="G3">
        <v>10000</v>
      </c>
    </row>
    <row r="4" spans="1:7" x14ac:dyDescent="0.3">
      <c r="A4" t="s">
        <v>17</v>
      </c>
      <c r="B4">
        <v>12000</v>
      </c>
      <c r="C4">
        <v>15000</v>
      </c>
      <c r="D4">
        <v>14000</v>
      </c>
      <c r="E4">
        <v>13000</v>
      </c>
      <c r="F4">
        <v>16000</v>
      </c>
      <c r="G4">
        <v>17000</v>
      </c>
    </row>
    <row r="5" spans="1:7" x14ac:dyDescent="0.3">
      <c r="A5" t="s">
        <v>23</v>
      </c>
      <c r="B5">
        <v>70000</v>
      </c>
      <c r="C5">
        <v>68000</v>
      </c>
      <c r="D5">
        <v>72000</v>
      </c>
      <c r="E5">
        <v>71000</v>
      </c>
      <c r="F5">
        <v>73000</v>
      </c>
      <c r="G5">
        <v>75000</v>
      </c>
    </row>
    <row r="7" spans="1:7" x14ac:dyDescent="0.3">
      <c r="B7">
        <f>HLOOKUP("Jan",A1:G5,2,FALSE)</f>
        <v>200000</v>
      </c>
      <c r="C7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Sales by Product</vt:lpstr>
      <vt:lpstr>Sales by Region</vt:lpstr>
      <vt:lpstr>Sales_Data</vt:lpstr>
      <vt:lpstr>Product_Lookup</vt:lpstr>
      <vt:lpstr>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 Khemalapure</cp:lastModifiedBy>
  <dcterms:created xsi:type="dcterms:W3CDTF">2026-03-07T14:07:02Z</dcterms:created>
  <dcterms:modified xsi:type="dcterms:W3CDTF">2026-03-16T10:40:15Z</dcterms:modified>
</cp:coreProperties>
</file>